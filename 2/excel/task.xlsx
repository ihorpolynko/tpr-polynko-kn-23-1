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oRHaT\Documents\GitHub\tpr-polynko-kn-23-1\2\excel\"/>
    </mc:Choice>
  </mc:AlternateContent>
  <xr:revisionPtr revIDLastSave="0" documentId="13_ncr:1_{AAF1214B-6831-4003-A252-28FC7E8808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6" i="1" l="1"/>
  <c r="D16" i="1"/>
  <c r="E16" i="1"/>
  <c r="B16" i="1"/>
  <c r="C12" i="1"/>
  <c r="C11" i="1"/>
  <c r="D11" i="1"/>
  <c r="D12" i="1" s="1"/>
  <c r="E11" i="1"/>
  <c r="E12" i="1" s="1"/>
  <c r="B11" i="1"/>
  <c r="B12" i="1" s="1"/>
  <c r="C13" i="1"/>
  <c r="D13" i="1"/>
  <c r="D14" i="1" s="1"/>
  <c r="E13" i="1"/>
  <c r="E14" i="1" s="1"/>
  <c r="B13" i="1"/>
  <c r="C14" i="1" s="1"/>
  <c r="C9" i="1"/>
  <c r="D9" i="1"/>
  <c r="E9" i="1"/>
  <c r="B9" i="1"/>
  <c r="B8" i="1"/>
  <c r="C8" i="1"/>
  <c r="D8" i="1"/>
  <c r="E8" i="1"/>
  <c r="E17" i="1" l="1"/>
  <c r="D17" i="1"/>
  <c r="C17" i="1"/>
  <c r="B15" i="1"/>
  <c r="B17" i="1" s="1"/>
  <c r="B10" i="1"/>
  <c r="B14" i="1"/>
  <c r="E10" i="1"/>
  <c r="C10" i="1"/>
  <c r="D10" i="1"/>
  <c r="B18" i="1" l="1"/>
  <c r="B19" i="1" s="1"/>
</calcChain>
</file>

<file path=xl/sharedStrings.xml><?xml version="1.0" encoding="utf-8"?>
<sst xmlns="http://schemas.openxmlformats.org/spreadsheetml/2006/main" count="19" uniqueCount="19">
  <si>
    <t>Об'єкт</t>
  </si>
  <si>
    <t>Експ.1 (бали)</t>
  </si>
  <si>
    <t>Експ.2 (бали)</t>
  </si>
  <si>
    <t>Експ.3 (бали)</t>
  </si>
  <si>
    <t>Експ.1 (ранг)</t>
  </si>
  <si>
    <t>Експ.2 (ранг)</t>
  </si>
  <si>
    <t>Експ.3 (ранг)</t>
  </si>
  <si>
    <t>Сума рангів (S):</t>
  </si>
  <si>
    <t>Середнє арифметичне (SS):</t>
  </si>
  <si>
    <t>Підсумковий ранг (RS)</t>
  </si>
  <si>
    <t>Сума балів по кожному об’єкту:</t>
  </si>
  <si>
    <t>Медіана (M):</t>
  </si>
  <si>
    <t>Підсумковий ранг за медіанами (RM):</t>
  </si>
  <si>
    <t>Вага (Kbi):</t>
  </si>
  <si>
    <t>Середня сума рангів:</t>
  </si>
  <si>
    <t>Відхилення:</t>
  </si>
  <si>
    <t>Квадрат відхилень</t>
  </si>
  <si>
    <t>Сума квадратів відхилень</t>
  </si>
  <si>
    <t>Коефіцієнт конкордації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</si>
</sst>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G8" sqref="G8"/>
    </sheetView>
  </sheetViews>
  <sheetFormatPr defaultRowHeight="15" x14ac:dyDescent="0.25"/>
  <cols>
    <col min="1" max="1" width="15.140625" bestFit="1" customWidth="1"/>
    <col min="2" max="4" width="12.85546875" bestFit="1" customWidth="1"/>
    <col min="5" max="7" width="12.4257812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2">
        <v>1</v>
      </c>
      <c r="B2" s="2">
        <v>4</v>
      </c>
      <c r="C2" s="2">
        <v>5</v>
      </c>
      <c r="D2" s="2">
        <v>5</v>
      </c>
      <c r="E2" s="2">
        <v>3</v>
      </c>
      <c r="F2" s="2">
        <v>3</v>
      </c>
      <c r="G2" s="2">
        <v>4</v>
      </c>
    </row>
    <row r="3" spans="1:7" x14ac:dyDescent="0.25">
      <c r="A3" s="2">
        <v>2</v>
      </c>
      <c r="B3" s="2">
        <v>3</v>
      </c>
      <c r="C3" s="2">
        <v>4</v>
      </c>
      <c r="D3" s="2">
        <v>3</v>
      </c>
      <c r="E3" s="2">
        <v>2</v>
      </c>
      <c r="F3" s="3">
        <v>1.5</v>
      </c>
      <c r="G3" s="2">
        <v>1.5</v>
      </c>
    </row>
    <row r="4" spans="1:7" x14ac:dyDescent="0.25">
      <c r="A4" s="2">
        <v>3</v>
      </c>
      <c r="B4" s="2">
        <v>2</v>
      </c>
      <c r="C4" s="2">
        <v>1</v>
      </c>
      <c r="D4" s="2">
        <v>1</v>
      </c>
      <c r="E4" s="2">
        <v>1</v>
      </c>
      <c r="F4" s="2">
        <v>1.5</v>
      </c>
      <c r="G4" s="2">
        <v>1.5</v>
      </c>
    </row>
    <row r="5" spans="1:7" x14ac:dyDescent="0.25">
      <c r="A5" s="2">
        <v>4</v>
      </c>
      <c r="B5" s="2">
        <v>5</v>
      </c>
      <c r="C5" s="2">
        <v>5</v>
      </c>
      <c r="D5" s="2">
        <v>4</v>
      </c>
      <c r="E5" s="2">
        <v>4</v>
      </c>
      <c r="F5" s="2">
        <v>4</v>
      </c>
      <c r="G5" s="2">
        <v>3</v>
      </c>
    </row>
    <row r="8" spans="1:7" x14ac:dyDescent="0.25">
      <c r="A8" s="2" t="s">
        <v>7</v>
      </c>
      <c r="B8" s="2">
        <f>SUM(E2:G2)</f>
        <v>10</v>
      </c>
      <c r="C8" s="2">
        <f>SUM(E3:G3)</f>
        <v>5</v>
      </c>
      <c r="D8" s="2">
        <f>SUM(E4:G4)</f>
        <v>4</v>
      </c>
      <c r="E8" s="2">
        <f>SUM(E5:G5)</f>
        <v>11</v>
      </c>
    </row>
    <row r="9" spans="1:7" ht="45" x14ac:dyDescent="0.25">
      <c r="A9" s="7" t="s">
        <v>8</v>
      </c>
      <c r="B9" s="4">
        <f>AVERAGE(E2:G2)</f>
        <v>3.3333333333333335</v>
      </c>
      <c r="C9" s="4">
        <f>AVERAGE(E3:G3)</f>
        <v>1.6666666666666667</v>
      </c>
      <c r="D9" s="4">
        <f>AVERAGE(E4:G4)</f>
        <v>1.3333333333333333</v>
      </c>
      <c r="E9" s="4">
        <f>AVERAGE(E5:G5)</f>
        <v>3.6666666666666665</v>
      </c>
    </row>
    <row r="10" spans="1:7" ht="30" x14ac:dyDescent="0.25">
      <c r="A10" s="5" t="s">
        <v>9</v>
      </c>
      <c r="B10" s="2">
        <f>_xlfn.RANK.EQ(B9,$B$9:$E$9,1)</f>
        <v>3</v>
      </c>
      <c r="C10" s="2">
        <f t="shared" ref="C10:E10" si="0">_xlfn.RANK.EQ(C9,$B$9:$E$9,1)</f>
        <v>2</v>
      </c>
      <c r="D10" s="2">
        <f t="shared" si="0"/>
        <v>1</v>
      </c>
      <c r="E10" s="2">
        <f t="shared" si="0"/>
        <v>4</v>
      </c>
    </row>
    <row r="11" spans="1:7" ht="23.25" customHeight="1" x14ac:dyDescent="0.25">
      <c r="A11" s="6" t="s">
        <v>11</v>
      </c>
      <c r="B11" s="2">
        <f>MEDIAN(E2:G2)</f>
        <v>3</v>
      </c>
      <c r="C11" s="2">
        <f>MEDIAN(E3:G3)</f>
        <v>1.5</v>
      </c>
      <c r="D11" s="2">
        <f>MEDIAN(E4:G4)</f>
        <v>1.5</v>
      </c>
      <c r="E11" s="2">
        <f>MEDIAN(E5:G5)</f>
        <v>4</v>
      </c>
    </row>
    <row r="12" spans="1:7" ht="60" x14ac:dyDescent="0.25">
      <c r="A12" s="7" t="s">
        <v>12</v>
      </c>
      <c r="B12" s="2">
        <f>_xlfn.RANK.EQ(B11,$B$11:$E$11,1)</f>
        <v>3</v>
      </c>
      <c r="C12" s="2">
        <f t="shared" ref="C12:E12" si="1">_xlfn.RANK.EQ(C11,$B$11:$E$11,1)</f>
        <v>1</v>
      </c>
      <c r="D12" s="2">
        <f t="shared" si="1"/>
        <v>1</v>
      </c>
      <c r="E12" s="2">
        <f t="shared" si="1"/>
        <v>4</v>
      </c>
    </row>
    <row r="13" spans="1:7" ht="45" x14ac:dyDescent="0.25">
      <c r="A13" s="5" t="s">
        <v>10</v>
      </c>
      <c r="B13" s="2">
        <f>SUM(B2:D2)</f>
        <v>14</v>
      </c>
      <c r="C13" s="2">
        <f>SUM(B3:D3)</f>
        <v>10</v>
      </c>
      <c r="D13" s="2">
        <f>SUM(B4:D4)</f>
        <v>4</v>
      </c>
      <c r="E13" s="2">
        <f>SUM(B5:D5)</f>
        <v>14</v>
      </c>
    </row>
    <row r="14" spans="1:7" ht="18.75" customHeight="1" x14ac:dyDescent="0.25">
      <c r="A14" s="2" t="s">
        <v>13</v>
      </c>
      <c r="B14" s="4">
        <f>B$13/SUM($B$13:$E$13)</f>
        <v>0.33333333333333331</v>
      </c>
      <c r="C14" s="4">
        <f t="shared" ref="C14:E14" si="2">C$13/SUM($B$13:$E$13)</f>
        <v>0.23809523809523808</v>
      </c>
      <c r="D14" s="4">
        <f t="shared" si="2"/>
        <v>9.5238095238095233E-2</v>
      </c>
      <c r="E14" s="4">
        <f t="shared" si="2"/>
        <v>0.33333333333333331</v>
      </c>
    </row>
    <row r="15" spans="1:7" ht="30" x14ac:dyDescent="0.25">
      <c r="A15" s="5" t="s">
        <v>14</v>
      </c>
      <c r="B15" s="8">
        <f>AVERAGE(B8:E8)</f>
        <v>7.5</v>
      </c>
      <c r="C15" s="8"/>
      <c r="D15" s="9"/>
      <c r="E15" s="9"/>
    </row>
    <row r="16" spans="1:7" ht="26.25" customHeight="1" x14ac:dyDescent="0.25">
      <c r="A16" s="2" t="s">
        <v>15</v>
      </c>
      <c r="B16" s="2">
        <f>B$8-$B$15</f>
        <v>2.5</v>
      </c>
      <c r="C16" s="2">
        <f t="shared" ref="C16:E16" si="3">C$8-$B$15</f>
        <v>-2.5</v>
      </c>
      <c r="D16" s="2">
        <f t="shared" si="3"/>
        <v>-3.5</v>
      </c>
      <c r="E16" s="2">
        <f t="shared" si="3"/>
        <v>3.5</v>
      </c>
    </row>
    <row r="17" spans="1:5" ht="30" x14ac:dyDescent="0.25">
      <c r="A17" s="5" t="s">
        <v>16</v>
      </c>
      <c r="B17" s="2">
        <f>B16^2</f>
        <v>6.25</v>
      </c>
      <c r="C17" s="2">
        <f t="shared" ref="C17:E17" si="4">C16^2</f>
        <v>6.25</v>
      </c>
      <c r="D17" s="2">
        <f t="shared" si="4"/>
        <v>12.25</v>
      </c>
      <c r="E17" s="2">
        <f t="shared" si="4"/>
        <v>12.25</v>
      </c>
    </row>
    <row r="18" spans="1:5" ht="30" x14ac:dyDescent="0.25">
      <c r="A18" s="10" t="s">
        <v>17</v>
      </c>
      <c r="B18" s="11">
        <f>SUM(B17:E17)</f>
        <v>37</v>
      </c>
      <c r="C18" s="1"/>
      <c r="D18" s="1"/>
      <c r="E18" s="1"/>
    </row>
    <row r="19" spans="1:5" ht="30" x14ac:dyDescent="0.25">
      <c r="A19" s="5" t="s">
        <v>18</v>
      </c>
      <c r="B19" s="4">
        <f>12*(($B$18)/((3^2)*((4^3)-4)))</f>
        <v>0.82222222222222219</v>
      </c>
      <c r="C19" s="12"/>
      <c r="D19" s="12"/>
      <c r="E19" s="12"/>
    </row>
  </sheetData>
  <pageMargins left="0.7" right="0.7" top="0.75" bottom="0.75" header="0.3" footer="0.3"/>
  <pageSetup paperSize="9" orientation="portrait" horizontalDpi="1200" verticalDpi="1200" r:id="rId1"/>
  <ignoredErrors>
    <ignoredError sqref="B8:E9 B11:E11 C13:E13 B1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Ігор Полинько</dc:creator>
  <cp:lastModifiedBy>Ігор Полинько</cp:lastModifiedBy>
  <cp:lastPrinted>2025-10-02T17:29:09Z</cp:lastPrinted>
  <dcterms:created xsi:type="dcterms:W3CDTF">2015-06-05T18:19:34Z</dcterms:created>
  <dcterms:modified xsi:type="dcterms:W3CDTF">2025-10-02T17:39:51Z</dcterms:modified>
</cp:coreProperties>
</file>